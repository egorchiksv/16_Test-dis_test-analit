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 " sheetId="1" r:id="rId4"/>
    <sheet state="visible" name="Текущий статус по тестировщикам" sheetId="2" r:id="rId5"/>
    <sheet state="visible" name="Статистика по багам" sheetId="3" r:id="rId6"/>
  </sheets>
  <definedNames/>
  <calcPr/>
</workbook>
</file>

<file path=xl/sharedStrings.xml><?xml version="1.0" encoding="utf-8"?>
<sst xmlns="http://schemas.openxmlformats.org/spreadsheetml/2006/main" count="50" uniqueCount="43">
  <si>
    <t>Всего тестов</t>
  </si>
  <si>
    <t>Дней на тестирование</t>
  </si>
  <si>
    <t>20+20+10=70</t>
  </si>
  <si>
    <t>Дата</t>
  </si>
  <si>
    <t>План (сколько осталось пройти)</t>
  </si>
  <si>
    <t>Факт (осталость пройти)</t>
  </si>
  <si>
    <t>50-11(passed)=39</t>
  </si>
  <si>
    <t>39-20(passed)=19</t>
  </si>
  <si>
    <t>за 05.10</t>
  </si>
  <si>
    <t>20, значит на вечер 30</t>
  </si>
  <si>
    <t>за 06.10</t>
  </si>
  <si>
    <t>20, значит на вечер 10</t>
  </si>
  <si>
    <t>за 07.10</t>
  </si>
  <si>
    <t>10, значит на вечер 0</t>
  </si>
  <si>
    <t>passed</t>
  </si>
  <si>
    <t>failed</t>
  </si>
  <si>
    <t>blocked</t>
  </si>
  <si>
    <t>unexecuted</t>
  </si>
  <si>
    <t>Маша Иванова</t>
  </si>
  <si>
    <t>Ольга Белова</t>
  </si>
  <si>
    <t>Ирина Павлова</t>
  </si>
  <si>
    <t>Катя Котова</t>
  </si>
  <si>
    <t>Соня Александрова</t>
  </si>
  <si>
    <t>Итого</t>
  </si>
  <si>
    <t>Открыто багов</t>
  </si>
  <si>
    <t>Закрыто багов</t>
  </si>
  <si>
    <t>Осталось открыто</t>
  </si>
  <si>
    <t>Зарыто всего</t>
  </si>
  <si>
    <t>Критичность</t>
  </si>
  <si>
    <t>Количество</t>
  </si>
  <si>
    <t>Статус</t>
  </si>
  <si>
    <t>critical</t>
  </si>
  <si>
    <t>open</t>
  </si>
  <si>
    <t>high</t>
  </si>
  <si>
    <t>in progress</t>
  </si>
  <si>
    <t>meduim</t>
  </si>
  <si>
    <t>closed</t>
  </si>
  <si>
    <t>low</t>
  </si>
  <si>
    <t>trivial</t>
  </si>
  <si>
    <t>Вывод:</t>
  </si>
  <si>
    <t>За 2 дня 5 тестировщиков закрыли 10 багов. За оставшийся день все 20 багов закрыть не получится.</t>
  </si>
  <si>
    <t xml:space="preserve">В день закрывали по 5 багов. </t>
  </si>
  <si>
    <t>Тогда предопологаем, что для закрытия оставшихся 20 багов необходимо 4 дня. Срок у нас был до 07.10, предположительно будут закрыты все баги 11.10+1 день запаса для повторной проверки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</si>
</sst>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3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2" fontId="1" numFmtId="0" xfId="0" applyFont="1"/>
    <xf borderId="0" fillId="2" fontId="2" numFmtId="0" xfId="0" applyAlignment="1" applyFont="1">
      <alignment readingOrder="0"/>
    </xf>
    <xf borderId="0" fillId="2" fontId="2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Диаграмма Burndown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'Burndown '!$B$4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'Burndown '!$A$5:$A$10</c:f>
            </c:strRef>
          </c:cat>
          <c:val>
            <c:numRef>
              <c:f>'Burndown '!$B$5:$B$10</c:f>
              <c:numCache/>
            </c:numRef>
          </c:val>
          <c:smooth val="0"/>
        </c:ser>
        <c:ser>
          <c:idx val="1"/>
          <c:order val="1"/>
          <c:tx>
            <c:strRef>
              <c:f>'Burndown '!$C$4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'Burndown '!$A$5:$A$10</c:f>
            </c:strRef>
          </c:cat>
          <c:val>
            <c:numRef>
              <c:f>'Burndown '!$C$5:$C$10</c:f>
              <c:numCache/>
            </c:numRef>
          </c:val>
          <c:smooth val="0"/>
        </c:ser>
        <c:axId val="123505147"/>
        <c:axId val="2003271068"/>
      </c:lineChart>
      <c:catAx>
        <c:axId val="123505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3271068"/>
      </c:catAx>
      <c:valAx>
        <c:axId val="20032710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5051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Статус по прохождению тест-кейсов</a:t>
            </a:r>
          </a:p>
        </c:rich>
      </c:tx>
      <c:layout>
        <c:manualLayout>
          <c:xMode val="edge"/>
          <c:yMode val="edge"/>
          <c:x val="0.03091666666666667"/>
          <c:y val="0.044609164420485174"/>
        </c:manualLayout>
      </c:layout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'Текущий статус по тестировщикам'!$B$1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'Текущий статус по тестировщикам'!$A$2:$A$6</c:f>
            </c:strRef>
          </c:cat>
          <c:val>
            <c:numRef>
              <c:f>'Текущий статус по тестировщикам'!$B$2:$B$6</c:f>
              <c:numCache/>
            </c:numRef>
          </c:val>
        </c:ser>
        <c:ser>
          <c:idx val="1"/>
          <c:order val="1"/>
          <c:tx>
            <c:strRef>
              <c:f>'Текущий статус по тестировщикам'!$C$1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'Текущий статус по тестировщикам'!$A$2:$A$6</c:f>
            </c:strRef>
          </c:cat>
          <c:val>
            <c:numRef>
              <c:f>'Текущий статус по тестировщикам'!$C$2:$C$6</c:f>
              <c:numCache/>
            </c:numRef>
          </c:val>
        </c:ser>
        <c:ser>
          <c:idx val="2"/>
          <c:order val="2"/>
          <c:tx>
            <c:strRef>
              <c:f>'Текущий статус по тестировщикам'!$D$1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cat>
            <c:strRef>
              <c:f>'Текущий статус по тестировщикам'!$A$2:$A$6</c:f>
            </c:strRef>
          </c:cat>
          <c:val>
            <c:numRef>
              <c:f>'Текущий статус по тестировщикам'!$D$2:$D$6</c:f>
              <c:numCache/>
            </c:numRef>
          </c:val>
        </c:ser>
        <c:ser>
          <c:idx val="3"/>
          <c:order val="3"/>
          <c:tx>
            <c:strRef>
              <c:f>'Текущий статус по тестировщикам'!$E$1</c:f>
            </c:strRef>
          </c:tx>
          <c:spPr>
            <a:solidFill>
              <a:srgbClr val="D9D9D9"/>
            </a:solidFill>
            <a:ln cmpd="sng">
              <a:solidFill>
                <a:srgbClr val="000000"/>
              </a:solidFill>
            </a:ln>
          </c:spPr>
          <c:cat>
            <c:strRef>
              <c:f>'Текущий статус по тестировщикам'!$A$2:$A$6</c:f>
            </c:strRef>
          </c:cat>
          <c:val>
            <c:numRef>
              <c:f>'Текущий статус по тестировщикам'!$E$2:$E$6</c:f>
              <c:numCache/>
            </c:numRef>
          </c:val>
        </c:ser>
        <c:overlap val="100"/>
        <c:axId val="919307381"/>
        <c:axId val="1915665521"/>
      </c:barChart>
      <c:catAx>
        <c:axId val="919307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5665521"/>
      </c:catAx>
      <c:valAx>
        <c:axId val="19156655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93073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Общий статус по тест-кейсам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'Текущий статус по тестировщикам'!$A$11</c:f>
            </c:strRef>
          </c:tx>
          <c:dPt>
            <c:idx val="0"/>
            <c:explosion val="0"/>
            <c:spPr>
              <a:solidFill>
                <a:srgbClr val="6AA84F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'Текущий статус по тестировщикам'!$B$10:$E$10</c:f>
            </c:strRef>
          </c:cat>
          <c:val>
            <c:numRef>
              <c:f>'Текущий статус по тестировщикам'!$B$11:$E$11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Статус тест-кейсов по тестировщикам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'Текущий статус по тестировщикам'!$B$1</c:f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'Текущий статус по тестировщикам'!$A$2:$A$6</c:f>
            </c:strRef>
          </c:cat>
          <c:val>
            <c:numRef>
              <c:f>'Текущий статус по тестировщикам'!$B$2:$B$6</c:f>
              <c:numCache/>
            </c:numRef>
          </c:val>
        </c:ser>
        <c:ser>
          <c:idx val="1"/>
          <c:order val="1"/>
          <c:tx>
            <c:strRef>
              <c:f>'Текущий статус по тестировщикам'!$C$1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'Текущий статус по тестировщикам'!$A$2:$A$6</c:f>
            </c:strRef>
          </c:cat>
          <c:val>
            <c:numRef>
              <c:f>'Текущий статус по тестировщикам'!$C$2:$C$6</c:f>
              <c:numCache/>
            </c:numRef>
          </c:val>
        </c:ser>
        <c:ser>
          <c:idx val="2"/>
          <c:order val="2"/>
          <c:tx>
            <c:strRef>
              <c:f>'Текущий статус по тестировщикам'!$D$1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'Текущий статус по тестировщикам'!$A$2:$A$6</c:f>
            </c:strRef>
          </c:cat>
          <c:val>
            <c:numRef>
              <c:f>'Текущий статус по тестировщикам'!$D$2:$D$6</c:f>
              <c:numCache/>
            </c:numRef>
          </c:val>
        </c:ser>
        <c:ser>
          <c:idx val="3"/>
          <c:order val="3"/>
          <c:tx>
            <c:strRef>
              <c:f>'Текущий статус по тестировщикам'!$E$1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FEFEF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3F3F3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EFEFEF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EFEFE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'Текущий статус по тестировщикам'!$A$2:$A$6</c:f>
            </c:strRef>
          </c:cat>
          <c:val>
            <c:numRef>
              <c:f>'Текущий статус по тестировщикам'!$E$2:$E$6</c:f>
              <c:numCache/>
            </c:numRef>
          </c:val>
        </c:ser>
        <c:overlap val="100"/>
        <c:axId val="569835060"/>
        <c:axId val="1791708023"/>
      </c:barChart>
      <c:catAx>
        <c:axId val="5698350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1708023"/>
      </c:catAx>
      <c:valAx>
        <c:axId val="1791708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98350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Статус по тестам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'Текущий статус по тестировщикам'!$A$11</c:f>
            </c:strRef>
          </c:tx>
          <c:dPt>
            <c:idx val="0"/>
            <c:spPr>
              <a:solidFill>
                <a:srgbClr val="38761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'Текущий статус по тестировщикам'!$B$10:$E$10</c:f>
            </c:strRef>
          </c:cat>
          <c:val>
            <c:numRef>
              <c:f>'Текущий статус по тестировщикам'!$B$11:$E$11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Статистика по багам</a:t>
            </a:r>
          </a:p>
        </c:rich>
      </c:tx>
      <c:layout>
        <c:manualLayout>
          <c:xMode val="edge"/>
          <c:yMode val="edge"/>
          <c:x val="0.03091666666666667"/>
          <c:y val="0.04730458221024259"/>
        </c:manualLayout>
      </c:layout>
      <c:overlay val="0"/>
    </c:title>
    <c:plotArea>
      <c:layout/>
      <c:lineChart>
        <c:ser>
          <c:idx val="0"/>
          <c:order val="0"/>
          <c:tx>
            <c:strRef>
              <c:f>'Статистика по багам'!$D$1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'Статистика по багам'!$A$2:$A$6</c:f>
            </c:strRef>
          </c:cat>
          <c:val>
            <c:numRef>
              <c:f>'Статистика по багам'!$D$2:$D$6</c:f>
              <c:numCache/>
            </c:numRef>
          </c:val>
          <c:smooth val="0"/>
        </c:ser>
        <c:ser>
          <c:idx val="1"/>
          <c:order val="1"/>
          <c:tx>
            <c:strRef>
              <c:f>'Статистика по багам'!$E$1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'Статистика по багам'!$A$2:$A$6</c:f>
            </c:strRef>
          </c:cat>
          <c:val>
            <c:numRef>
              <c:f>'Статистика по багам'!$E$2:$E$6</c:f>
              <c:numCache/>
            </c:numRef>
          </c:val>
          <c:smooth val="0"/>
        </c:ser>
        <c:axId val="751756834"/>
        <c:axId val="867258266"/>
      </c:lineChart>
      <c:catAx>
        <c:axId val="751756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7258266"/>
      </c:catAx>
      <c:valAx>
        <c:axId val="8672582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17568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Баги по критичности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'Статистика по багам'!$B$9</c:f>
            </c:strRef>
          </c:tx>
          <c:dPt>
            <c:idx val="0"/>
            <c:spPr>
              <a:solidFill>
                <a:srgbClr val="990000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C9DAF8"/>
              </a:solidFill>
            </c:spPr>
          </c:dPt>
          <c:dPt>
            <c:idx val="4"/>
            <c:spPr>
              <a:solidFill>
                <a:srgbClr val="CFE2F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'Статистика по багам'!$A$10:$A$14</c:f>
            </c:strRef>
          </c:cat>
          <c:val>
            <c:numRef>
              <c:f>'Статистика по багам'!$B$10:$B$14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Баги по статусу</a:t>
            </a:r>
          </a:p>
        </c:rich>
      </c:tx>
      <c:layout>
        <c:manualLayout>
          <c:xMode val="edge"/>
          <c:yMode val="edge"/>
          <c:x val="0.03091666666666667"/>
          <c:y val="0.04730458221024259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'Статистика по багам'!$E$9</c:f>
            </c:strRef>
          </c:tx>
          <c:dPt>
            <c:idx val="0"/>
            <c:spPr>
              <a:solidFill>
                <a:srgbClr val="E06666"/>
              </a:solidFill>
            </c:spPr>
          </c:dPt>
          <c:dPt>
            <c:idx val="1"/>
            <c:spPr>
              <a:solidFill>
                <a:srgbClr val="FFE599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'Статистика по багам'!$D$10:$D$12</c:f>
            </c:strRef>
          </c:cat>
          <c:val>
            <c:numRef>
              <c:f>'Статистика по багам'!$E$10:$E$12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1905000</xdr:colOff>
      <xdr:row>10</xdr:row>
      <xdr:rowOff>76200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838200</xdr:colOff>
      <xdr:row>36</xdr:row>
      <xdr:rowOff>47625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133350</xdr:colOff>
      <xdr:row>35</xdr:row>
      <xdr:rowOff>38100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476250</xdr:colOff>
      <xdr:row>0</xdr:row>
      <xdr:rowOff>123825</xdr:rowOff>
    </xdr:from>
    <xdr:ext cx="5715000" cy="35337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466725</xdr:colOff>
      <xdr:row>13</xdr:row>
      <xdr:rowOff>38100</xdr:rowOff>
    </xdr:from>
    <xdr:ext cx="5715000" cy="35337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76200</xdr:colOff>
      <xdr:row>5</xdr:row>
      <xdr:rowOff>180975</xdr:rowOff>
    </xdr:from>
    <xdr:ext cx="5715000" cy="353377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342900</xdr:colOff>
      <xdr:row>14</xdr:row>
      <xdr:rowOff>114300</xdr:rowOff>
    </xdr:from>
    <xdr:ext cx="5715000" cy="353377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819150</xdr:colOff>
      <xdr:row>24</xdr:row>
      <xdr:rowOff>161925</xdr:rowOff>
    </xdr:from>
    <xdr:ext cx="5715000" cy="3533775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7.88"/>
    <col customWidth="1" min="3" max="3" width="29.5"/>
    <col customWidth="1" min="5" max="5" width="14.5"/>
  </cols>
  <sheetData>
    <row r="1">
      <c r="A1" s="1" t="s">
        <v>0</v>
      </c>
      <c r="B1" s="2">
        <v>50.0</v>
      </c>
    </row>
    <row r="2">
      <c r="A2" s="1" t="s">
        <v>1</v>
      </c>
      <c r="B2" s="2">
        <v>3.0</v>
      </c>
      <c r="D2" s="3" t="s">
        <v>2</v>
      </c>
    </row>
    <row r="3">
      <c r="A3" s="4"/>
    </row>
    <row r="4">
      <c r="A4" s="1" t="s">
        <v>3</v>
      </c>
      <c r="B4" s="1" t="s">
        <v>4</v>
      </c>
      <c r="C4" s="1" t="s">
        <v>5</v>
      </c>
    </row>
    <row r="5">
      <c r="A5" s="4">
        <v>45570.0</v>
      </c>
      <c r="B5" s="2">
        <v>30.0</v>
      </c>
      <c r="C5" s="2">
        <v>39.0</v>
      </c>
      <c r="E5" s="3" t="s">
        <v>6</v>
      </c>
    </row>
    <row r="6">
      <c r="A6" s="4">
        <v>45571.0</v>
      </c>
      <c r="B6" s="2">
        <v>10.0</v>
      </c>
      <c r="C6" s="2">
        <v>19.0</v>
      </c>
      <c r="E6" s="3" t="s">
        <v>7</v>
      </c>
    </row>
    <row r="7">
      <c r="A7" s="4">
        <v>45572.0</v>
      </c>
      <c r="B7" s="2">
        <v>0.0</v>
      </c>
      <c r="C7" s="2"/>
    </row>
    <row r="8">
      <c r="A8" s="4"/>
    </row>
    <row r="9">
      <c r="A9" s="4"/>
    </row>
    <row r="10">
      <c r="A10" s="5" t="s">
        <v>8</v>
      </c>
      <c r="B10" s="3" t="s">
        <v>9</v>
      </c>
    </row>
    <row r="11">
      <c r="A11" s="5" t="s">
        <v>10</v>
      </c>
      <c r="B11" s="3" t="s">
        <v>11</v>
      </c>
    </row>
    <row r="12">
      <c r="A12" s="5" t="s">
        <v>12</v>
      </c>
      <c r="B12" s="3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B1" s="6" t="s">
        <v>14</v>
      </c>
      <c r="C1" s="6" t="s">
        <v>15</v>
      </c>
      <c r="D1" s="6" t="s">
        <v>16</v>
      </c>
      <c r="E1" s="6" t="s">
        <v>17</v>
      </c>
    </row>
    <row r="2">
      <c r="A2" s="2" t="s">
        <v>18</v>
      </c>
      <c r="B2" s="7">
        <v>2.0</v>
      </c>
      <c r="C2" s="2">
        <v>5.0</v>
      </c>
      <c r="D2" s="2">
        <v>0.0</v>
      </c>
      <c r="E2" s="2">
        <v>4.0</v>
      </c>
    </row>
    <row r="3">
      <c r="A3" s="2" t="s">
        <v>19</v>
      </c>
      <c r="B3" s="7">
        <v>2.0</v>
      </c>
      <c r="C3" s="2">
        <v>5.0</v>
      </c>
      <c r="D3" s="2">
        <v>0.0</v>
      </c>
      <c r="E3" s="2">
        <v>2.0</v>
      </c>
    </row>
    <row r="4">
      <c r="A4" s="2" t="s">
        <v>20</v>
      </c>
      <c r="B4" s="7">
        <v>2.0</v>
      </c>
      <c r="C4" s="2">
        <v>4.0</v>
      </c>
      <c r="D4" s="2">
        <v>0.0</v>
      </c>
      <c r="E4" s="7">
        <v>1.0</v>
      </c>
    </row>
    <row r="5">
      <c r="A5" s="2" t="s">
        <v>21</v>
      </c>
      <c r="B5" s="2">
        <v>2.0</v>
      </c>
      <c r="C5" s="2">
        <v>6.0</v>
      </c>
      <c r="D5" s="2">
        <v>0.0</v>
      </c>
      <c r="E5" s="2">
        <v>3.0</v>
      </c>
    </row>
    <row r="6">
      <c r="A6" s="2" t="s">
        <v>22</v>
      </c>
      <c r="B6" s="2">
        <v>5.0</v>
      </c>
      <c r="C6" s="2">
        <v>5.0</v>
      </c>
      <c r="D6" s="2">
        <v>0.0</v>
      </c>
      <c r="E6" s="7">
        <v>2.0</v>
      </c>
    </row>
    <row r="7">
      <c r="A7" s="8" t="s">
        <v>23</v>
      </c>
      <c r="B7" s="9">
        <f t="shared" ref="B7:E7" si="1">SUM(B2:B6)</f>
        <v>13</v>
      </c>
      <c r="C7" s="9">
        <f t="shared" si="1"/>
        <v>25</v>
      </c>
      <c r="D7" s="9">
        <f t="shared" si="1"/>
        <v>0</v>
      </c>
      <c r="E7" s="9">
        <f t="shared" si="1"/>
        <v>12</v>
      </c>
    </row>
    <row r="9">
      <c r="B9" s="6"/>
      <c r="C9" s="6"/>
      <c r="D9" s="6"/>
      <c r="E9" s="6"/>
    </row>
    <row r="10">
      <c r="A10" s="6"/>
      <c r="B10" s="6" t="s">
        <v>14</v>
      </c>
      <c r="C10" s="6" t="s">
        <v>15</v>
      </c>
      <c r="D10" s="6" t="s">
        <v>16</v>
      </c>
      <c r="E10" s="6" t="s">
        <v>17</v>
      </c>
    </row>
    <row r="11">
      <c r="A11" s="6" t="s">
        <v>23</v>
      </c>
      <c r="B11" s="9">
        <f t="shared" ref="B11:E11" si="2">SUM(B7:B10)</f>
        <v>13</v>
      </c>
      <c r="C11" s="9">
        <f t="shared" si="2"/>
        <v>25</v>
      </c>
      <c r="D11" s="9">
        <f t="shared" si="2"/>
        <v>0</v>
      </c>
      <c r="E11" s="9">
        <f t="shared" si="2"/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14.13"/>
    <col customWidth="1" min="4" max="4" width="31.25"/>
    <col customWidth="1" min="5" max="5" width="22.5"/>
  </cols>
  <sheetData>
    <row r="1">
      <c r="A1" s="6" t="s">
        <v>3</v>
      </c>
      <c r="B1" s="6" t="s">
        <v>24</v>
      </c>
      <c r="C1" s="6" t="s">
        <v>25</v>
      </c>
      <c r="D1" s="1" t="s">
        <v>26</v>
      </c>
      <c r="E1" s="1" t="s">
        <v>27</v>
      </c>
    </row>
    <row r="2">
      <c r="A2" s="4">
        <v>44109.0</v>
      </c>
      <c r="B2" s="2">
        <v>15.0</v>
      </c>
      <c r="C2" s="2">
        <v>2.0</v>
      </c>
      <c r="D2" s="10">
        <f>B2-C2</f>
        <v>13</v>
      </c>
      <c r="E2" s="10">
        <f>C2</f>
        <v>2</v>
      </c>
    </row>
    <row r="3">
      <c r="A3" s="4">
        <v>44110.0</v>
      </c>
      <c r="B3" s="2">
        <v>10.0</v>
      </c>
      <c r="C3" s="2">
        <v>6.0</v>
      </c>
      <c r="D3" s="10">
        <f>B3-C3+D2</f>
        <v>17</v>
      </c>
      <c r="E3" s="10">
        <f>C3+E2</f>
        <v>8</v>
      </c>
    </row>
    <row r="4">
      <c r="A4" s="4"/>
    </row>
    <row r="5">
      <c r="A5" s="4"/>
    </row>
    <row r="6">
      <c r="A6" s="4"/>
    </row>
    <row r="9">
      <c r="A9" s="6" t="s">
        <v>28</v>
      </c>
      <c r="B9" s="6" t="s">
        <v>29</v>
      </c>
      <c r="D9" s="6" t="s">
        <v>30</v>
      </c>
      <c r="E9" s="6" t="s">
        <v>29</v>
      </c>
    </row>
    <row r="10">
      <c r="A10" s="1" t="s">
        <v>31</v>
      </c>
      <c r="B10" s="2">
        <v>3.0</v>
      </c>
      <c r="D10" s="1" t="s">
        <v>32</v>
      </c>
      <c r="E10" s="2">
        <v>7.0</v>
      </c>
    </row>
    <row r="11">
      <c r="A11" s="1" t="s">
        <v>33</v>
      </c>
      <c r="B11" s="7">
        <v>6.0</v>
      </c>
      <c r="D11" s="1" t="s">
        <v>34</v>
      </c>
      <c r="E11" s="2">
        <v>10.0</v>
      </c>
    </row>
    <row r="12">
      <c r="A12" s="1" t="s">
        <v>35</v>
      </c>
      <c r="B12" s="2">
        <v>13.0</v>
      </c>
      <c r="D12" s="1" t="s">
        <v>36</v>
      </c>
      <c r="E12" s="2">
        <v>8.0</v>
      </c>
    </row>
    <row r="13">
      <c r="A13" s="1" t="s">
        <v>37</v>
      </c>
      <c r="B13" s="2">
        <v>3.0</v>
      </c>
    </row>
    <row r="14">
      <c r="A14" s="1" t="s">
        <v>38</v>
      </c>
      <c r="B14" s="2">
        <v>0.0</v>
      </c>
    </row>
    <row r="19">
      <c r="A19" s="6"/>
      <c r="B19" s="6"/>
      <c r="C19" s="6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45">
      <c r="A45" s="1" t="s">
        <v>39</v>
      </c>
      <c r="B45" s="1" t="s">
        <v>40</v>
      </c>
    </row>
    <row r="46">
      <c r="A46" s="1" t="s">
        <v>41</v>
      </c>
      <c r="C46" s="1" t="s">
        <v>42</v>
      </c>
    </row>
  </sheetData>
  <drawing r:id="rId1"/>
</worksheet>
</file>